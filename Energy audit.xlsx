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ocuments\energy audit\"/>
    </mc:Choice>
  </mc:AlternateContent>
  <xr:revisionPtr revIDLastSave="0" documentId="13_ncr:1_{F3A11E59-489A-4809-97C7-CC7DD9466BBD}" xr6:coauthVersionLast="45" xr6:coauthVersionMax="45" xr10:uidLastSave="{00000000-0000-0000-0000-000000000000}"/>
  <bookViews>
    <workbookView xWindow="-120" yWindow="-120" windowWidth="29040" windowHeight="15720" xr2:uid="{92C15937-A2C7-4568-9A3B-855258964C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F3" i="1" s="1"/>
  <c r="G3" i="1" s="1"/>
  <c r="E4" i="1"/>
  <c r="E5" i="1"/>
  <c r="E6" i="1"/>
  <c r="E11" i="1"/>
  <c r="F11" i="1" s="1"/>
  <c r="G11" i="1" s="1"/>
  <c r="E10" i="1"/>
  <c r="F10" i="1" s="1"/>
  <c r="G10" i="1" s="1"/>
  <c r="E9" i="1"/>
  <c r="F9" i="1" s="1"/>
  <c r="G9" i="1" s="1"/>
  <c r="E7" i="1"/>
  <c r="F7" i="1" s="1"/>
  <c r="F4" i="1" l="1"/>
  <c r="G4" i="1" s="1"/>
  <c r="F5" i="1"/>
  <c r="F6" i="1"/>
  <c r="G6" i="1" s="1"/>
  <c r="E8" i="1"/>
  <c r="F8" i="1" s="1"/>
  <c r="G8" i="1" s="1"/>
  <c r="E12" i="1"/>
  <c r="F12" i="1" s="1"/>
  <c r="E2" i="1"/>
  <c r="F2" i="1" s="1"/>
  <c r="G2" i="1" s="1"/>
  <c r="F13" i="1" l="1"/>
  <c r="G13" i="1" s="1"/>
  <c r="G5" i="1"/>
  <c r="G12" i="1"/>
  <c r="G7" i="1"/>
</calcChain>
</file>

<file path=xl/sharedStrings.xml><?xml version="1.0" encoding="utf-8"?>
<sst xmlns="http://schemas.openxmlformats.org/spreadsheetml/2006/main" count="19" uniqueCount="19">
  <si>
    <t>Appliances</t>
  </si>
  <si>
    <t>Fan</t>
  </si>
  <si>
    <t>PC</t>
  </si>
  <si>
    <t>Refridgerator</t>
  </si>
  <si>
    <t>Router</t>
  </si>
  <si>
    <t>Hours/Day</t>
  </si>
  <si>
    <t>Quantity</t>
  </si>
  <si>
    <t>Power(Watt)</t>
  </si>
  <si>
    <t>Led lights(Kitchen)</t>
  </si>
  <si>
    <t>Led lights(Hall)</t>
  </si>
  <si>
    <t>Energy(Wh/day)</t>
  </si>
  <si>
    <t>Energy(KWh/day)</t>
  </si>
  <si>
    <t>Total</t>
  </si>
  <si>
    <t>Energy(KWh/month)</t>
  </si>
  <si>
    <t>TV</t>
  </si>
  <si>
    <t>Chargers</t>
  </si>
  <si>
    <t>Chimney</t>
  </si>
  <si>
    <t>Led lights(Bedroom)</t>
  </si>
  <si>
    <t>Led lights(Small)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</si>
</sst>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</cellStyleXfs>
  <cellXfs count="3">
    <xf numFmtId="0" fontId="0" fillId="0" borderId="0" xfId="0"/>
    <xf numFmtId="0" fontId="1" fillId="2" borderId="0" xfId="1"/>
    <xf numFmtId="0" fontId="2" fillId="3" borderId="1" xfId="2"/>
  </cellXfs>
  <cellStyles count="3">
    <cellStyle name="Bad" xfId="1" builtinId="27"/>
    <cellStyle name="Calculation" xfId="2" builtinId="2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Sheet1!$G$1</c:f>
              <c:strCache>
                <c:ptCount val="1"/>
                <c:pt idx="0">
                  <c:v>Energy(KWh/month)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E2A-4C93-8811-57A3BD44C8D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E2A-4C93-8811-57A3BD44C8D0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E2A-4C93-8811-57A3BD44C8D0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E2A-4C93-8811-57A3BD44C8D0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E2A-4C93-8811-57A3BD44C8D0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E2A-4C93-8811-57A3BD44C8D0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E2A-4C93-8811-57A3BD44C8D0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dLbl>
              <c:idx val="0"/>
              <c:layout>
                <c:manualLayout>
                  <c:x val="2.6572891980735418E-2"/>
                  <c:y val="-0.121063410278203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2A-4C93-8811-57A3BD44C8D0}"/>
                </c:ext>
              </c:extLst>
            </c:dLbl>
            <c:dLbl>
              <c:idx val="1"/>
              <c:layout>
                <c:manualLayout>
                  <c:x val="2.3525360300836181E-2"/>
                  <c:y val="-4.25357928004499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2A-4C93-8811-57A3BD44C8D0}"/>
                </c:ext>
              </c:extLst>
            </c:dLbl>
            <c:dLbl>
              <c:idx val="2"/>
              <c:layout>
                <c:manualLayout>
                  <c:x val="4.1191841311098251E-2"/>
                  <c:y val="1.963190436943843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2A-4C93-8811-57A3BD44C8D0}"/>
                </c:ext>
              </c:extLst>
            </c:dLbl>
            <c:dLbl>
              <c:idx val="3"/>
              <c:layout>
                <c:manualLayout>
                  <c:x val="6.1519688679691736E-2"/>
                  <c:y val="5.23517449851691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E2A-4C93-8811-57A3BD44C8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Sheet1!$A$2:$A$12</c:f>
              <c:strCache>
                <c:ptCount val="11"/>
                <c:pt idx="0">
                  <c:v>Led lights(Hall)</c:v>
                </c:pt>
                <c:pt idx="1">
                  <c:v>Led lights(Bedroom)</c:v>
                </c:pt>
                <c:pt idx="2">
                  <c:v>Led lights(Small)</c:v>
                </c:pt>
                <c:pt idx="3">
                  <c:v>Led lights(Kitchen)</c:v>
                </c:pt>
                <c:pt idx="4">
                  <c:v>Fan</c:v>
                </c:pt>
                <c:pt idx="5">
                  <c:v>Refridgerator</c:v>
                </c:pt>
                <c:pt idx="6">
                  <c:v>Router</c:v>
                </c:pt>
                <c:pt idx="7">
                  <c:v>TV</c:v>
                </c:pt>
                <c:pt idx="8">
                  <c:v>Chargers</c:v>
                </c:pt>
                <c:pt idx="9">
                  <c:v>Chimney</c:v>
                </c:pt>
                <c:pt idx="10">
                  <c:v>PC</c:v>
                </c:pt>
              </c:strCache>
            </c: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3</c:v>
                </c:pt>
                <c:pt idx="1">
                  <c:v>1.2</c:v>
                </c:pt>
                <c:pt idx="2">
                  <c:v>1.26</c:v>
                </c:pt>
                <c:pt idx="3">
                  <c:v>8.4</c:v>
                </c:pt>
                <c:pt idx="4">
                  <c:v>36</c:v>
                </c:pt>
                <c:pt idx="5">
                  <c:v>72</c:v>
                </c:pt>
                <c:pt idx="6">
                  <c:v>2.4</c:v>
                </c:pt>
                <c:pt idx="7">
                  <c:v>7.1999999999999993</c:v>
                </c:pt>
                <c:pt idx="8">
                  <c:v>2.6999999999999997</c:v>
                </c:pt>
                <c:pt idx="9">
                  <c:v>12</c:v>
                </c:pt>
                <c:pt idx="1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5A-44CF-801D-D65D2A9FCE0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9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30993000874893"/>
          <c:y val="0.19486111111111112"/>
          <c:w val="0.8766900699912511"/>
          <c:h val="0.4933854622338874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Energy(KWh/month)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Sheet1!$A$2:$A$12</c:f>
              <c:strCache>
                <c:ptCount val="11"/>
                <c:pt idx="0">
                  <c:v>Led lights(Hall)</c:v>
                </c:pt>
                <c:pt idx="1">
                  <c:v>Led lights(Bedroom)</c:v>
                </c:pt>
                <c:pt idx="2">
                  <c:v>Led lights(Small)</c:v>
                </c:pt>
                <c:pt idx="3">
                  <c:v>Led lights(Kitchen)</c:v>
                </c:pt>
                <c:pt idx="4">
                  <c:v>Fan</c:v>
                </c:pt>
                <c:pt idx="5">
                  <c:v>Refridgerator</c:v>
                </c:pt>
                <c:pt idx="6">
                  <c:v>Router</c:v>
                </c:pt>
                <c:pt idx="7">
                  <c:v>TV</c:v>
                </c:pt>
                <c:pt idx="8">
                  <c:v>Chargers</c:v>
                </c:pt>
                <c:pt idx="9">
                  <c:v>Chimney</c:v>
                </c:pt>
                <c:pt idx="10">
                  <c:v>PC</c:v>
                </c:pt>
              </c:strCache>
            </c:strRef>
          </c:cat>
          <c:val>
            <c:numRef>
              <c:f>Sheet1!$G$2:$G$12</c:f>
              <c:numCache>
                <c:formatCode>General</c:formatCode>
                <c:ptCount val="11"/>
                <c:pt idx="0">
                  <c:v>3</c:v>
                </c:pt>
                <c:pt idx="1">
                  <c:v>1.2</c:v>
                </c:pt>
                <c:pt idx="2">
                  <c:v>1.26</c:v>
                </c:pt>
                <c:pt idx="3">
                  <c:v>8.4</c:v>
                </c:pt>
                <c:pt idx="4">
                  <c:v>36</c:v>
                </c:pt>
                <c:pt idx="5">
                  <c:v>72</c:v>
                </c:pt>
                <c:pt idx="6">
                  <c:v>2.4</c:v>
                </c:pt>
                <c:pt idx="7">
                  <c:v>7.1999999999999993</c:v>
                </c:pt>
                <c:pt idx="8">
                  <c:v>2.6999999999999997</c:v>
                </c:pt>
                <c:pt idx="9">
                  <c:v>12</c:v>
                </c:pt>
                <c:pt idx="1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77-47B1-8B99-3FB30F8FD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6257632"/>
        <c:axId val="411222400"/>
      </c:barChart>
      <c:catAx>
        <c:axId val="756257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1222400"/>
        <c:crosses val="autoZero"/>
        <c:auto val="1"/>
        <c:lblAlgn val="ctr"/>
        <c:lblOffset val="100"/>
        <c:noMultiLvlLbl val="0"/>
      </c:catAx>
      <c:valAx>
        <c:axId val="41122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625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1104899</xdr:colOff>
      <xdr:row>14</xdr:row>
      <xdr:rowOff>161925</xdr:rowOff>
    </xdr:from>
    <xdr:to>
      <xdr:col>16</xdr:col>
      <xdr:colOff>590549</xdr:colOff>
      <xdr:row>35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A16A31-B57B-4748-A2AC-1B554344F8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790575</xdr:colOff>
      <xdr:row>15</xdr:row>
      <xdr:rowOff>185737</xdr:rowOff>
    </xdr:from>
    <xdr:to>
      <xdr:col>6</xdr:col>
      <xdr:colOff>209550</xdr:colOff>
      <xdr:row>30</xdr:row>
      <xdr:rowOff>71437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C7363-AD69-4233-8EC6-78C720873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6E4AB-2772-4EE8-9C16-EC119B077EC7}">
  <dimension ref="A1:G13"/>
  <sheetViews>
    <sheetView tabSelected="1" workbookViewId="0">
      <selection activeCell="A5" sqref="A5"/>
    </sheetView>
  </sheetViews>
  <sheetFormatPr defaultRowHeight="15" x14ac:dyDescent="0.25"/>
  <cols>
    <col min="1" max="1" width="19.85546875" customWidth="1"/>
    <col min="2" max="2" width="16.42578125" customWidth="1"/>
    <col min="3" max="3" width="11.42578125" customWidth="1"/>
    <col min="5" max="5" width="19.7109375" customWidth="1"/>
    <col min="6" max="6" width="20.5703125" customWidth="1"/>
    <col min="7" max="7" width="19.42578125" customWidth="1"/>
    <col min="8" max="8" width="18.140625" customWidth="1"/>
  </cols>
  <sheetData>
    <row r="1" spans="1:7" x14ac:dyDescent="0.25">
      <c r="A1" t="s">
        <v>0</v>
      </c>
      <c r="B1" t="s">
        <v>7</v>
      </c>
      <c r="C1" t="s">
        <v>5</v>
      </c>
      <c r="D1" t="s">
        <v>6</v>
      </c>
      <c r="E1" t="s">
        <v>10</v>
      </c>
      <c r="F1" t="s">
        <v>11</v>
      </c>
      <c r="G1" t="s">
        <v>13</v>
      </c>
    </row>
    <row r="2" spans="1:7" x14ac:dyDescent="0.25">
      <c r="A2" t="s">
        <v>9</v>
      </c>
      <c r="B2">
        <v>10</v>
      </c>
      <c r="C2">
        <v>5</v>
      </c>
      <c r="D2">
        <v>2</v>
      </c>
      <c r="E2">
        <f>B2*C2*D2</f>
        <v>100</v>
      </c>
      <c r="F2">
        <f>E2/1000</f>
        <v>0.1</v>
      </c>
      <c r="G2">
        <f>F2*30</f>
        <v>3</v>
      </c>
    </row>
    <row r="3" spans="1:7" x14ac:dyDescent="0.25">
      <c r="A3" t="s">
        <v>17</v>
      </c>
      <c r="B3">
        <v>10</v>
      </c>
      <c r="C3">
        <v>1</v>
      </c>
      <c r="D3">
        <v>4</v>
      </c>
      <c r="E3">
        <f t="shared" ref="E3:E6" si="0">B3*C3*D3</f>
        <v>40</v>
      </c>
      <c r="F3">
        <f>E3/1000</f>
        <v>0.04</v>
      </c>
      <c r="G3">
        <f t="shared" ref="G3:G6" si="1">F3*30</f>
        <v>1.2</v>
      </c>
    </row>
    <row r="4" spans="1:7" x14ac:dyDescent="0.25">
      <c r="A4" t="s">
        <v>18</v>
      </c>
      <c r="B4">
        <v>7</v>
      </c>
      <c r="C4">
        <v>1</v>
      </c>
      <c r="D4">
        <v>6</v>
      </c>
      <c r="E4">
        <f t="shared" si="0"/>
        <v>42</v>
      </c>
      <c r="F4">
        <f t="shared" ref="F4:F12" si="2">E4/1000</f>
        <v>4.2000000000000003E-2</v>
      </c>
      <c r="G4">
        <f t="shared" si="1"/>
        <v>1.26</v>
      </c>
    </row>
    <row r="5" spans="1:7" x14ac:dyDescent="0.25">
      <c r="A5" t="s">
        <v>8</v>
      </c>
      <c r="B5">
        <v>10</v>
      </c>
      <c r="C5">
        <v>7</v>
      </c>
      <c r="D5">
        <v>4</v>
      </c>
      <c r="E5">
        <f t="shared" si="0"/>
        <v>280</v>
      </c>
      <c r="F5">
        <f t="shared" si="2"/>
        <v>0.28000000000000003</v>
      </c>
      <c r="G5">
        <f t="shared" si="1"/>
        <v>8.4</v>
      </c>
    </row>
    <row r="6" spans="1:7" x14ac:dyDescent="0.25">
      <c r="A6" s="1" t="s">
        <v>1</v>
      </c>
      <c r="B6" s="1">
        <v>50</v>
      </c>
      <c r="C6" s="1">
        <v>8</v>
      </c>
      <c r="D6" s="1">
        <v>3</v>
      </c>
      <c r="E6" s="1">
        <f t="shared" si="0"/>
        <v>1200</v>
      </c>
      <c r="F6" s="1">
        <f t="shared" si="2"/>
        <v>1.2</v>
      </c>
      <c r="G6" s="1">
        <f t="shared" si="1"/>
        <v>36</v>
      </c>
    </row>
    <row r="7" spans="1:7" x14ac:dyDescent="0.25">
      <c r="A7" s="1" t="s">
        <v>3</v>
      </c>
      <c r="B7" s="1">
        <v>200</v>
      </c>
      <c r="C7" s="1">
        <v>12</v>
      </c>
      <c r="D7" s="1">
        <v>1</v>
      </c>
      <c r="E7" s="1">
        <f t="shared" ref="E7:E12" si="3">B7*C7*D7</f>
        <v>2400</v>
      </c>
      <c r="F7" s="1">
        <f t="shared" si="2"/>
        <v>2.4</v>
      </c>
      <c r="G7" s="1">
        <f t="shared" ref="G7:G13" si="4">F7*30</f>
        <v>72</v>
      </c>
    </row>
    <row r="8" spans="1:7" x14ac:dyDescent="0.25">
      <c r="A8" t="s">
        <v>4</v>
      </c>
      <c r="B8">
        <v>4</v>
      </c>
      <c r="C8">
        <v>20</v>
      </c>
      <c r="D8">
        <v>1</v>
      </c>
      <c r="E8">
        <f t="shared" si="3"/>
        <v>80</v>
      </c>
      <c r="F8">
        <f t="shared" si="2"/>
        <v>0.08</v>
      </c>
      <c r="G8">
        <f t="shared" si="4"/>
        <v>2.4</v>
      </c>
    </row>
    <row r="9" spans="1:7" x14ac:dyDescent="0.25">
      <c r="A9" t="s">
        <v>14</v>
      </c>
      <c r="B9">
        <v>40</v>
      </c>
      <c r="C9">
        <v>6</v>
      </c>
      <c r="D9">
        <v>1</v>
      </c>
      <c r="E9">
        <f t="shared" si="3"/>
        <v>240</v>
      </c>
      <c r="F9">
        <f t="shared" si="2"/>
        <v>0.24</v>
      </c>
      <c r="G9">
        <f t="shared" si="4"/>
        <v>7.1999999999999993</v>
      </c>
    </row>
    <row r="10" spans="1:7" x14ac:dyDescent="0.25">
      <c r="A10" t="s">
        <v>15</v>
      </c>
      <c r="B10">
        <v>30</v>
      </c>
      <c r="C10">
        <v>3</v>
      </c>
      <c r="D10">
        <v>1</v>
      </c>
      <c r="E10">
        <f t="shared" si="3"/>
        <v>90</v>
      </c>
      <c r="F10">
        <f t="shared" si="2"/>
        <v>0.09</v>
      </c>
      <c r="G10">
        <f t="shared" si="4"/>
        <v>2.6999999999999997</v>
      </c>
    </row>
    <row r="11" spans="1:7" x14ac:dyDescent="0.25">
      <c r="A11" s="1" t="s">
        <v>16</v>
      </c>
      <c r="B11" s="1">
        <v>200</v>
      </c>
      <c r="C11" s="1">
        <v>2</v>
      </c>
      <c r="D11" s="1">
        <v>1</v>
      </c>
      <c r="E11" s="1">
        <f t="shared" si="3"/>
        <v>400</v>
      </c>
      <c r="F11" s="1">
        <f t="shared" si="2"/>
        <v>0.4</v>
      </c>
      <c r="G11" s="1">
        <f t="shared" si="4"/>
        <v>12</v>
      </c>
    </row>
    <row r="12" spans="1:7" x14ac:dyDescent="0.25">
      <c r="A12" s="1" t="s">
        <v>2</v>
      </c>
      <c r="B12" s="1">
        <v>150</v>
      </c>
      <c r="C12" s="1">
        <v>6</v>
      </c>
      <c r="D12" s="1">
        <v>1</v>
      </c>
      <c r="E12" s="1">
        <f t="shared" si="3"/>
        <v>900</v>
      </c>
      <c r="F12" s="1">
        <f t="shared" si="2"/>
        <v>0.9</v>
      </c>
      <c r="G12" s="1">
        <f t="shared" si="4"/>
        <v>27</v>
      </c>
    </row>
    <row r="13" spans="1:7" x14ac:dyDescent="0.25">
      <c r="A13" s="2" t="s">
        <v>12</v>
      </c>
      <c r="B13" s="2"/>
      <c r="C13" s="2"/>
      <c r="D13" s="2"/>
      <c r="E13" s="2"/>
      <c r="F13" s="2">
        <f>F12+F9+F8+F7+F6+F5+F4+F2+F10+F11+F3</f>
        <v>5.7720000000000002</v>
      </c>
      <c r="G13" s="2">
        <f t="shared" si="4"/>
        <v>173.16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</dc:creator>
  <cp:lastModifiedBy>VARAD</cp:lastModifiedBy>
  <dcterms:created xsi:type="dcterms:W3CDTF">2026-04-24T08:08:39Z</dcterms:created>
  <dcterms:modified xsi:type="dcterms:W3CDTF">2026-04-25T19:40:55Z</dcterms:modified>
</cp:coreProperties>
</file>